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 add on course working msterials\"/>
    </mc:Choice>
  </mc:AlternateContent>
  <xr:revisionPtr revIDLastSave="0" documentId="13_ncr:1_{277E6DEA-9475-4073-854D-B9E7BEC492A9}" xr6:coauthVersionLast="47" xr6:coauthVersionMax="47" xr10:uidLastSave="{00000000-0000-0000-0000-000000000000}"/>
  <bookViews>
    <workbookView xWindow="-108" yWindow="-108" windowWidth="23256" windowHeight="12456" activeTab="3" xr2:uid="{79A70FE2-0A6B-4430-BE69-C478478ADE42}"/>
  </bookViews>
  <sheets>
    <sheet name="Sheet2" sheetId="4" r:id="rId1"/>
    <sheet name="Data" sheetId="1" r:id="rId2"/>
    <sheet name="Correlation_Matrix" sheetId="2" r:id="rId3"/>
    <sheet name="Dashboard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H9" i="4"/>
  <c r="G9" i="4"/>
  <c r="H12" i="4" l="1"/>
  <c r="H15" i="4" l="1"/>
  <c r="K18" i="3" s="1"/>
  <c r="E18" i="3"/>
  <c r="K10" i="1" l="1"/>
  <c r="L10" i="1"/>
  <c r="M10" i="1"/>
  <c r="J10" i="1"/>
  <c r="J7" i="1"/>
  <c r="K9" i="1"/>
  <c r="L9" i="1"/>
  <c r="M9" i="1"/>
  <c r="K8" i="1"/>
  <c r="L8" i="1"/>
  <c r="M8" i="1"/>
  <c r="K7" i="1"/>
  <c r="L7" i="1"/>
  <c r="M7" i="1"/>
  <c r="K6" i="1"/>
  <c r="L6" i="1"/>
  <c r="M6" i="1"/>
  <c r="K5" i="1"/>
  <c r="L5" i="1"/>
  <c r="M5" i="1"/>
  <c r="J9" i="1"/>
  <c r="J8" i="1"/>
  <c r="J6" i="1"/>
  <c r="J5" i="1"/>
</calcChain>
</file>

<file path=xl/sharedStrings.xml><?xml version="1.0" encoding="utf-8"?>
<sst xmlns="http://schemas.openxmlformats.org/spreadsheetml/2006/main" count="113" uniqueCount="90">
  <si>
    <t>Name</t>
  </si>
  <si>
    <t>Performance</t>
  </si>
  <si>
    <t>IQ</t>
  </si>
  <si>
    <t xml:space="preserve">Motivation </t>
  </si>
  <si>
    <t>Annual Salary</t>
  </si>
  <si>
    <t>Reetu Rani</t>
  </si>
  <si>
    <t xml:space="preserve">Akshya </t>
  </si>
  <si>
    <t>Akshya Bhatt</t>
  </si>
  <si>
    <t>Dilip</t>
  </si>
  <si>
    <t>Kiran Babu</t>
  </si>
  <si>
    <t>Nitin K</t>
  </si>
  <si>
    <t>Anuj Aggrwal</t>
  </si>
  <si>
    <t>Ronit Kundu</t>
  </si>
  <si>
    <t>Avik Ghosh</t>
  </si>
  <si>
    <t>Priyanka Kundalia</t>
  </si>
  <si>
    <t>Shiv Kumar</t>
  </si>
  <si>
    <t>Rasika</t>
  </si>
  <si>
    <t>Bhavna Tulsian</t>
  </si>
  <si>
    <t>Aditya Raval</t>
  </si>
  <si>
    <t>MVL Manikantan</t>
  </si>
  <si>
    <t>Meher Legha</t>
  </si>
  <si>
    <t>Tanay Singh</t>
  </si>
  <si>
    <t>Rohan Bharaj</t>
  </si>
  <si>
    <t>Utkarsh Bali</t>
  </si>
  <si>
    <t>Roger Vaguez</t>
  </si>
  <si>
    <t>Amn Kumar</t>
  </si>
  <si>
    <t>Dinesh Sairam</t>
  </si>
  <si>
    <t>Soumya Devi K.T</t>
  </si>
  <si>
    <t>Saurav George</t>
  </si>
  <si>
    <t>Jyoti Dixit</t>
  </si>
  <si>
    <t>Shashank Prem Kumar</t>
  </si>
  <si>
    <t>Sneha James</t>
  </si>
  <si>
    <t>Priyanka M.V</t>
  </si>
  <si>
    <t>Alwin Sebastin</t>
  </si>
  <si>
    <t>Arun Joy</t>
  </si>
  <si>
    <t>Sreelakshmi Surendran</t>
  </si>
  <si>
    <t>Christy Joseph</t>
  </si>
  <si>
    <t>Koushik Surendranath</t>
  </si>
  <si>
    <t>Jethin Varghese</t>
  </si>
  <si>
    <t>Neetha S</t>
  </si>
  <si>
    <t>Nicolette</t>
  </si>
  <si>
    <t>Jhanavi.G</t>
  </si>
  <si>
    <t>Prateek</t>
  </si>
  <si>
    <t>Rajat</t>
  </si>
  <si>
    <t>Sini Varghese</t>
  </si>
  <si>
    <t>Sachin Santhosh</t>
  </si>
  <si>
    <t>Joel Joe Easow</t>
  </si>
  <si>
    <t>Paul Roy</t>
  </si>
  <si>
    <t>Rohit Chandy</t>
  </si>
  <si>
    <t>Kishlay Kumar</t>
  </si>
  <si>
    <t>Rakshitha</t>
  </si>
  <si>
    <t>Jerome Jose</t>
  </si>
  <si>
    <t>Sachin</t>
  </si>
  <si>
    <t>Arjun</t>
  </si>
  <si>
    <t>Sathisha</t>
  </si>
  <si>
    <t>Vinod C</t>
  </si>
  <si>
    <t>Vinay Kumar K</t>
  </si>
  <si>
    <t>Akshay</t>
  </si>
  <si>
    <t>Mahesh Kumar</t>
  </si>
  <si>
    <t>Srinivas</t>
  </si>
  <si>
    <t>MAX</t>
  </si>
  <si>
    <t>MIN</t>
  </si>
  <si>
    <t>MEAN</t>
  </si>
  <si>
    <t>MEDIAN</t>
  </si>
  <si>
    <t>MODE</t>
  </si>
  <si>
    <t>RANGE</t>
  </si>
  <si>
    <t>1 d 1i</t>
  </si>
  <si>
    <t>SUMMARY OUTPUT</t>
  </si>
  <si>
    <t>Intercept</t>
  </si>
  <si>
    <t>Coefficients</t>
  </si>
  <si>
    <t>c</t>
  </si>
  <si>
    <t>m1</t>
  </si>
  <si>
    <t>m2</t>
  </si>
  <si>
    <t>m3</t>
  </si>
  <si>
    <t>Calculations</t>
  </si>
  <si>
    <t>Mr. Masood</t>
  </si>
  <si>
    <t>Name:</t>
  </si>
  <si>
    <t>MOT</t>
  </si>
  <si>
    <t>AS</t>
  </si>
  <si>
    <t>x1</t>
  </si>
  <si>
    <t>x2</t>
  </si>
  <si>
    <t>x3</t>
  </si>
  <si>
    <t>MOTIVATION</t>
  </si>
  <si>
    <t>SALARY</t>
  </si>
  <si>
    <t>m1*x1+m2*x2+m3*x3+c</t>
  </si>
  <si>
    <t>y</t>
  </si>
  <si>
    <t>Result</t>
  </si>
  <si>
    <t>PERFORMANCE</t>
  </si>
  <si>
    <t>HIRING STATUS</t>
  </si>
  <si>
    <t>AMAZON HR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</si>
</sst>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20"/>
      <color theme="5"/>
      <name val="Felix Titling"/>
      <family val="5"/>
    </font>
    <font>
      <b/>
      <sz val="30"/>
      <name val="Berlin Sans FB"/>
      <family val="2"/>
    </font>
    <font>
      <sz val="11"/>
      <color theme="5"/>
      <name val="Calibri"/>
      <family val="2"/>
      <scheme val="minor"/>
    </font>
    <font>
      <sz val="26"/>
      <color theme="5"/>
      <name val="Algerian"/>
      <family val="5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1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2" fillId="0" borderId="2" xfId="0" applyFont="1" applyBorder="1" applyAlignment="1">
      <alignment horizontal="center"/>
    </xf>
    <xf numFmtId="9" fontId="0" fillId="0" borderId="0" xfId="1" applyFont="1" applyFill="1" applyBorder="1" applyAlignment="1"/>
    <xf numFmtId="9" fontId="0" fillId="0" borderId="1" xfId="1" applyFont="1" applyFill="1" applyBorder="1" applyAlignment="1"/>
    <xf numFmtId="0" fontId="3" fillId="0" borderId="0" xfId="0" applyFont="1"/>
    <xf numFmtId="0" fontId="4" fillId="0" borderId="0" xfId="0" applyFont="1"/>
    <xf numFmtId="0" fontId="0" fillId="2" borderId="0" xfId="0" applyFill="1"/>
    <xf numFmtId="1" fontId="0" fillId="2" borderId="0" xfId="0" applyNumberFormat="1" applyFill="1"/>
    <xf numFmtId="0" fontId="8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Spin" dx="26" fmlaLink="$C$9" max="150" min="65" page="10" val="84"/>
</file>

<file path=xl/ctrlProps/ctrlProp2.xml><?xml version="1.0" encoding="utf-8"?>
<formControlPr xmlns="http://schemas.microsoft.com/office/spreadsheetml/2009/9/main" objectType="Spin" dx="26" fmlaLink="$H$9" max="100" min="30" page="10" val="76"/>
</file>

<file path=xl/ctrlProps/ctrlProp3.xml><?xml version="1.0" encoding="utf-8"?>
<formControlPr xmlns="http://schemas.microsoft.com/office/spreadsheetml/2009/9/main" objectType="Spin" dx="26" fmlaLink="$M$9" max="100" min="40" page="10" val="58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175260</xdr:colOff>
          <xdr:row>7</xdr:row>
          <xdr:rowOff>167640</xdr:rowOff>
        </xdr:from>
        <xdr:to>
          <xdr:col>1</xdr:col>
          <xdr:colOff>594360</xdr:colOff>
          <xdr:row>10</xdr:row>
          <xdr:rowOff>190500</xdr:rowOff>
        </xdr:to>
        <xdr:sp macro="" textlink="">
          <xdr:nvSpPr>
            <xdr:cNvPr id="3073" name="Spinner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3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167640</xdr:colOff>
          <xdr:row>7</xdr:row>
          <xdr:rowOff>152400</xdr:rowOff>
        </xdr:from>
        <xdr:to>
          <xdr:col>6</xdr:col>
          <xdr:colOff>586740</xdr:colOff>
          <xdr:row>10</xdr:row>
          <xdr:rowOff>175260</xdr:rowOff>
        </xdr:to>
        <xdr:sp macro="" textlink="">
          <xdr:nvSpPr>
            <xdr:cNvPr id="3074" name="Spinner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3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175260</xdr:colOff>
          <xdr:row>7</xdr:row>
          <xdr:rowOff>175260</xdr:rowOff>
        </xdr:from>
        <xdr:to>
          <xdr:col>11</xdr:col>
          <xdr:colOff>594360</xdr:colOff>
          <xdr:row>11</xdr:row>
          <xdr:rowOff>7620</xdr:rowOff>
        </xdr:to>
        <xdr:sp macro="" textlink="">
          <xdr:nvSpPr>
            <xdr:cNvPr id="3075" name="Spinner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3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03459-408B-4BF3-80FA-532DADF860B1}">
  <dimension ref="A1:I15"/>
  <sheetViews>
    <sheetView zoomScale="145" zoomScaleNormal="145" workbookViewId="0">
      <selection activeCell="H16" sqref="H16"/>
    </sheetView>
  </sheetViews>
  <sheetFormatPr defaultColWidth="4.77734375" defaultRowHeight="14.4" x14ac:dyDescent="0.3"/>
  <cols>
    <col min="1" max="1" width="17.5546875" bestFit="1" customWidth="1"/>
    <col min="2" max="2" width="12.6640625" bestFit="1" customWidth="1"/>
    <col min="3" max="3" width="3.6640625" bestFit="1" customWidth="1"/>
    <col min="6" max="6" width="12.109375" bestFit="1" customWidth="1"/>
    <col min="7" max="7" width="6.88671875" customWidth="1"/>
    <col min="8" max="8" width="11.109375" bestFit="1" customWidth="1"/>
    <col min="9" max="9" width="7.109375" customWidth="1"/>
  </cols>
  <sheetData>
    <row r="1" spans="1:9" x14ac:dyDescent="0.3">
      <c r="A1" t="s">
        <v>67</v>
      </c>
    </row>
    <row r="2" spans="1:9" ht="15" thickBot="1" x14ac:dyDescent="0.35"/>
    <row r="3" spans="1:9" x14ac:dyDescent="0.3">
      <c r="A3" s="7"/>
      <c r="B3" s="7" t="s">
        <v>69</v>
      </c>
      <c r="F3" t="s">
        <v>74</v>
      </c>
    </row>
    <row r="4" spans="1:9" x14ac:dyDescent="0.3">
      <c r="A4" t="s">
        <v>68</v>
      </c>
      <c r="B4">
        <v>18.131459400009589</v>
      </c>
      <c r="C4" t="s">
        <v>70</v>
      </c>
    </row>
    <row r="5" spans="1:9" x14ac:dyDescent="0.3">
      <c r="A5" t="s">
        <v>2</v>
      </c>
      <c r="B5">
        <v>0.2648719764359142</v>
      </c>
      <c r="C5" t="s">
        <v>71</v>
      </c>
      <c r="F5" s="10" t="s">
        <v>76</v>
      </c>
      <c r="H5" t="s">
        <v>75</v>
      </c>
    </row>
    <row r="6" spans="1:9" x14ac:dyDescent="0.3">
      <c r="A6" t="s">
        <v>3</v>
      </c>
      <c r="B6">
        <v>0.30819556137523774</v>
      </c>
      <c r="C6" t="s">
        <v>72</v>
      </c>
    </row>
    <row r="7" spans="1:9" ht="15" thickBot="1" x14ac:dyDescent="0.35">
      <c r="A7" s="6" t="s">
        <v>4</v>
      </c>
      <c r="B7" s="6">
        <v>0.16396138044343569</v>
      </c>
      <c r="C7" t="s">
        <v>73</v>
      </c>
      <c r="G7" t="s">
        <v>2</v>
      </c>
      <c r="H7" t="s">
        <v>77</v>
      </c>
      <c r="I7" t="s">
        <v>78</v>
      </c>
    </row>
    <row r="8" spans="1:9" x14ac:dyDescent="0.3">
      <c r="G8" t="s">
        <v>79</v>
      </c>
      <c r="H8" t="s">
        <v>80</v>
      </c>
      <c r="I8" t="s">
        <v>81</v>
      </c>
    </row>
    <row r="9" spans="1:9" x14ac:dyDescent="0.3">
      <c r="G9">
        <f>Dashboard!$C$9</f>
        <v>84</v>
      </c>
      <c r="H9">
        <f>Dashboard!$H$9</f>
        <v>76</v>
      </c>
      <c r="I9">
        <f>Dashboard!$M$9</f>
        <v>58</v>
      </c>
    </row>
    <row r="11" spans="1:9" x14ac:dyDescent="0.3">
      <c r="G11" t="s">
        <v>85</v>
      </c>
      <c r="H11" t="s">
        <v>84</v>
      </c>
    </row>
    <row r="12" spans="1:9" x14ac:dyDescent="0.3">
      <c r="F12" s="11" t="s">
        <v>1</v>
      </c>
      <c r="H12" s="13">
        <f>B5*G9+B6*H9+B7*I9+B4</f>
        <v>73.313328150863725</v>
      </c>
    </row>
    <row r="15" spans="1:9" x14ac:dyDescent="0.3">
      <c r="F15" t="s">
        <v>86</v>
      </c>
      <c r="H15" s="12" t="str">
        <f>IF(H12&gt;=75,"SELECTED","REJECTED")</f>
        <v>REJECTED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866A4-8648-4804-A5ED-4270104E240D}">
  <dimension ref="A1:M63"/>
  <sheetViews>
    <sheetView zoomScale="150" zoomScaleNormal="150" workbookViewId="0">
      <selection activeCell="C4" sqref="C4"/>
    </sheetView>
  </sheetViews>
  <sheetFormatPr defaultRowHeight="14.4" x14ac:dyDescent="0.3"/>
  <cols>
    <col min="1" max="1" width="21.88671875" bestFit="1" customWidth="1"/>
    <col min="2" max="2" width="12.44140625" bestFit="1" customWidth="1"/>
    <col min="3" max="3" width="4" bestFit="1" customWidth="1"/>
    <col min="4" max="4" width="11.109375" bestFit="1" customWidth="1"/>
    <col min="5" max="5" width="13.109375" bestFit="1" customWidth="1"/>
    <col min="7" max="7" width="9.109375"/>
    <col min="10" max="10" width="14.33203125" customWidth="1"/>
    <col min="12" max="12" width="14.88671875" customWidth="1"/>
    <col min="13" max="13" width="11.88671875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13" x14ac:dyDescent="0.3">
      <c r="A2" s="3" t="s">
        <v>5</v>
      </c>
      <c r="B2" s="4">
        <v>85</v>
      </c>
      <c r="C2" s="4">
        <v>109</v>
      </c>
      <c r="D2" s="4">
        <v>89</v>
      </c>
      <c r="E2" s="4">
        <v>73</v>
      </c>
    </row>
    <row r="3" spans="1:13" x14ac:dyDescent="0.3">
      <c r="A3" s="3" t="s">
        <v>6</v>
      </c>
      <c r="B3" s="4">
        <v>84</v>
      </c>
      <c r="C3" s="4">
        <v>106</v>
      </c>
      <c r="D3" s="4">
        <v>84</v>
      </c>
      <c r="E3" s="4">
        <v>80</v>
      </c>
    </row>
    <row r="4" spans="1:13" x14ac:dyDescent="0.3">
      <c r="A4" s="3" t="s">
        <v>7</v>
      </c>
      <c r="B4" s="4">
        <v>87</v>
      </c>
      <c r="C4" s="4">
        <v>125</v>
      </c>
      <c r="D4" s="4">
        <v>59</v>
      </c>
      <c r="E4" s="4">
        <v>67</v>
      </c>
      <c r="J4" s="2" t="s">
        <v>1</v>
      </c>
      <c r="K4" s="2" t="s">
        <v>2</v>
      </c>
      <c r="L4" s="2" t="s">
        <v>3</v>
      </c>
      <c r="M4" s="2" t="s">
        <v>4</v>
      </c>
    </row>
    <row r="5" spans="1:13" x14ac:dyDescent="0.3">
      <c r="A5" s="3" t="s">
        <v>8</v>
      </c>
      <c r="B5" s="4">
        <v>69</v>
      </c>
      <c r="C5" s="4">
        <v>84</v>
      </c>
      <c r="D5" s="4">
        <v>60</v>
      </c>
      <c r="E5" s="4">
        <v>58</v>
      </c>
      <c r="I5" t="s">
        <v>60</v>
      </c>
      <c r="J5" s="4">
        <f>MAX(B2:B61)</f>
        <v>99</v>
      </c>
      <c r="K5" s="4">
        <f t="shared" ref="K5:M5" si="0">MAX(C2:C61)</f>
        <v>145</v>
      </c>
      <c r="L5" s="4">
        <f t="shared" si="0"/>
        <v>97</v>
      </c>
      <c r="M5" s="4">
        <f t="shared" si="0"/>
        <v>93</v>
      </c>
    </row>
    <row r="6" spans="1:13" x14ac:dyDescent="0.3">
      <c r="A6" s="3" t="s">
        <v>9</v>
      </c>
      <c r="B6" s="4">
        <v>69</v>
      </c>
      <c r="C6" s="4">
        <v>89</v>
      </c>
      <c r="D6" s="4">
        <v>60</v>
      </c>
      <c r="E6" s="4">
        <v>67</v>
      </c>
      <c r="I6" t="s">
        <v>61</v>
      </c>
      <c r="J6" s="2">
        <f>MIN(B1:B61)</f>
        <v>62</v>
      </c>
      <c r="K6" s="2">
        <f t="shared" ref="K6:M6" si="1">MIN(C1:C61)</f>
        <v>73</v>
      </c>
      <c r="L6" s="2">
        <f t="shared" si="1"/>
        <v>32</v>
      </c>
      <c r="M6" s="2">
        <f t="shared" si="1"/>
        <v>44</v>
      </c>
    </row>
    <row r="7" spans="1:13" x14ac:dyDescent="0.3">
      <c r="A7" s="3" t="s">
        <v>10</v>
      </c>
      <c r="B7" s="4">
        <v>81</v>
      </c>
      <c r="C7" s="4">
        <v>109</v>
      </c>
      <c r="D7" s="4">
        <v>62</v>
      </c>
      <c r="E7" s="4">
        <v>75</v>
      </c>
      <c r="I7" t="s">
        <v>62</v>
      </c>
      <c r="J7" s="4">
        <f>AVERAGE(B2,B2:B61)</f>
        <v>78.229508196721312</v>
      </c>
      <c r="K7" s="4">
        <f t="shared" ref="K7:M7" si="2">AVERAGE(C2,C2:C61)</f>
        <v>106.68852459016394</v>
      </c>
      <c r="L7" s="4">
        <f t="shared" si="2"/>
        <v>67.311475409836063</v>
      </c>
      <c r="M7" s="4">
        <f t="shared" si="2"/>
        <v>67.803278688524586</v>
      </c>
    </row>
    <row r="8" spans="1:13" x14ac:dyDescent="0.3">
      <c r="A8" s="3" t="s">
        <v>11</v>
      </c>
      <c r="B8" s="4">
        <v>71</v>
      </c>
      <c r="C8" s="4">
        <v>121</v>
      </c>
      <c r="D8" s="4">
        <v>67</v>
      </c>
      <c r="E8" s="4">
        <v>55</v>
      </c>
      <c r="I8" t="s">
        <v>63</v>
      </c>
      <c r="J8" s="4">
        <f>MEDIAN(B2:B61)</f>
        <v>78.5</v>
      </c>
      <c r="K8" s="4">
        <f t="shared" ref="K8:M8" si="3">MEDIAN(C2:C61)</f>
        <v>105.5</v>
      </c>
      <c r="L8" s="4">
        <f t="shared" si="3"/>
        <v>65.5</v>
      </c>
      <c r="M8" s="4">
        <f t="shared" si="3"/>
        <v>67.5</v>
      </c>
    </row>
    <row r="9" spans="1:13" x14ac:dyDescent="0.3">
      <c r="A9" s="3" t="s">
        <v>12</v>
      </c>
      <c r="B9" s="4">
        <v>76</v>
      </c>
      <c r="C9" s="4">
        <v>102</v>
      </c>
      <c r="D9" s="4">
        <v>44</v>
      </c>
      <c r="E9" s="4">
        <v>73</v>
      </c>
      <c r="I9" t="s">
        <v>64</v>
      </c>
      <c r="J9" s="5">
        <f>MODE(B2:B61)</f>
        <v>81</v>
      </c>
      <c r="K9" s="5">
        <f t="shared" ref="K9:M9" si="4">MODE(C2:C61)</f>
        <v>104</v>
      </c>
      <c r="L9" s="5">
        <f t="shared" si="4"/>
        <v>58</v>
      </c>
      <c r="M9" s="5">
        <f t="shared" si="4"/>
        <v>75</v>
      </c>
    </row>
    <row r="10" spans="1:13" x14ac:dyDescent="0.3">
      <c r="A10" s="3" t="s">
        <v>13</v>
      </c>
      <c r="B10" s="4">
        <v>77</v>
      </c>
      <c r="C10" s="4">
        <v>111</v>
      </c>
      <c r="D10" s="4">
        <v>68</v>
      </c>
      <c r="E10" s="4">
        <v>60</v>
      </c>
      <c r="I10" t="s">
        <v>65</v>
      </c>
      <c r="J10" s="2">
        <f>J5-J6</f>
        <v>37</v>
      </c>
      <c r="K10" s="2">
        <f t="shared" ref="K10:M10" si="5">K5-K6</f>
        <v>72</v>
      </c>
      <c r="L10" s="2">
        <f t="shared" si="5"/>
        <v>65</v>
      </c>
      <c r="M10" s="2">
        <f t="shared" si="5"/>
        <v>49</v>
      </c>
    </row>
    <row r="11" spans="1:13" x14ac:dyDescent="0.3">
      <c r="A11" s="3" t="s">
        <v>14</v>
      </c>
      <c r="B11" s="4">
        <v>76</v>
      </c>
      <c r="C11" s="4">
        <v>106</v>
      </c>
      <c r="D11" s="4">
        <v>63</v>
      </c>
      <c r="E11" s="4">
        <v>54</v>
      </c>
    </row>
    <row r="12" spans="1:13" x14ac:dyDescent="0.3">
      <c r="A12" s="3" t="s">
        <v>15</v>
      </c>
      <c r="B12" s="4">
        <v>90</v>
      </c>
      <c r="C12" s="4">
        <v>107</v>
      </c>
      <c r="D12" s="4">
        <v>93</v>
      </c>
      <c r="E12" s="4">
        <v>75</v>
      </c>
    </row>
    <row r="13" spans="1:13" x14ac:dyDescent="0.3">
      <c r="A13" s="3" t="s">
        <v>16</v>
      </c>
      <c r="B13" s="4">
        <v>74</v>
      </c>
      <c r="C13" s="4">
        <v>97</v>
      </c>
      <c r="D13" s="4">
        <v>52</v>
      </c>
      <c r="E13" s="4">
        <v>58</v>
      </c>
    </row>
    <row r="14" spans="1:13" x14ac:dyDescent="0.3">
      <c r="A14" s="3" t="s">
        <v>17</v>
      </c>
      <c r="B14" s="4">
        <v>74</v>
      </c>
      <c r="C14" s="4">
        <v>133</v>
      </c>
      <c r="D14" s="4">
        <v>60</v>
      </c>
      <c r="E14" s="4">
        <v>50</v>
      </c>
    </row>
    <row r="15" spans="1:13" x14ac:dyDescent="0.3">
      <c r="A15" s="3" t="s">
        <v>18</v>
      </c>
      <c r="B15" s="4">
        <v>65</v>
      </c>
      <c r="C15" s="4">
        <v>96</v>
      </c>
      <c r="D15" s="4">
        <v>52</v>
      </c>
      <c r="E15" s="4">
        <v>74</v>
      </c>
    </row>
    <row r="16" spans="1:13" x14ac:dyDescent="0.3">
      <c r="A16" s="3" t="s">
        <v>19</v>
      </c>
      <c r="B16" s="4">
        <v>66</v>
      </c>
      <c r="C16" s="4">
        <v>97</v>
      </c>
      <c r="D16" s="4">
        <v>65</v>
      </c>
      <c r="E16" s="4">
        <v>81</v>
      </c>
    </row>
    <row r="17" spans="1:9" x14ac:dyDescent="0.3">
      <c r="A17" s="3" t="s">
        <v>20</v>
      </c>
      <c r="B17" s="4">
        <v>73</v>
      </c>
      <c r="C17" s="4">
        <v>116</v>
      </c>
      <c r="D17" s="4">
        <v>62</v>
      </c>
      <c r="E17" s="4">
        <v>45</v>
      </c>
    </row>
    <row r="18" spans="1:9" x14ac:dyDescent="0.3">
      <c r="A18" s="3" t="s">
        <v>21</v>
      </c>
      <c r="B18" s="4">
        <v>80</v>
      </c>
      <c r="C18" s="4">
        <v>108</v>
      </c>
      <c r="D18" s="4">
        <v>74</v>
      </c>
      <c r="E18" s="4">
        <v>92</v>
      </c>
    </row>
    <row r="19" spans="1:9" x14ac:dyDescent="0.3">
      <c r="A19" s="3" t="s">
        <v>22</v>
      </c>
      <c r="B19" s="4">
        <v>96</v>
      </c>
      <c r="C19" s="4">
        <v>102</v>
      </c>
      <c r="D19" s="4">
        <v>84</v>
      </c>
      <c r="E19" s="4">
        <v>84</v>
      </c>
    </row>
    <row r="20" spans="1:9" x14ac:dyDescent="0.3">
      <c r="A20" s="3" t="s">
        <v>23</v>
      </c>
      <c r="B20" s="4">
        <v>77</v>
      </c>
      <c r="C20" s="4">
        <v>94</v>
      </c>
      <c r="D20" s="4">
        <v>78</v>
      </c>
      <c r="E20" s="4">
        <v>79</v>
      </c>
    </row>
    <row r="21" spans="1:9" x14ac:dyDescent="0.3">
      <c r="A21" s="3" t="s">
        <v>24</v>
      </c>
      <c r="B21" s="4">
        <v>73</v>
      </c>
      <c r="C21" s="4">
        <v>98</v>
      </c>
      <c r="D21" s="4">
        <v>71</v>
      </c>
      <c r="E21" s="4">
        <v>68</v>
      </c>
    </row>
    <row r="22" spans="1:9" x14ac:dyDescent="0.3">
      <c r="A22" s="3" t="s">
        <v>25</v>
      </c>
      <c r="B22" s="4">
        <v>70</v>
      </c>
      <c r="C22" s="4">
        <v>87</v>
      </c>
      <c r="D22" s="4">
        <v>63</v>
      </c>
      <c r="E22" s="4">
        <v>62</v>
      </c>
      <c r="I22" t="s">
        <v>66</v>
      </c>
    </row>
    <row r="23" spans="1:9" x14ac:dyDescent="0.3">
      <c r="A23" s="3" t="s">
        <v>26</v>
      </c>
      <c r="B23" s="4">
        <v>68</v>
      </c>
      <c r="C23" s="4">
        <v>104</v>
      </c>
      <c r="D23" s="4">
        <v>57</v>
      </c>
      <c r="E23" s="4">
        <v>53</v>
      </c>
    </row>
    <row r="24" spans="1:9" x14ac:dyDescent="0.3">
      <c r="A24" s="3" t="s">
        <v>27</v>
      </c>
      <c r="B24" s="4">
        <v>66</v>
      </c>
      <c r="C24" s="4">
        <v>85</v>
      </c>
      <c r="D24" s="4">
        <v>57</v>
      </c>
      <c r="E24" s="4">
        <v>51</v>
      </c>
    </row>
    <row r="25" spans="1:9" x14ac:dyDescent="0.3">
      <c r="A25" s="3" t="s">
        <v>28</v>
      </c>
      <c r="B25" s="4">
        <v>86</v>
      </c>
      <c r="C25" s="4">
        <v>145</v>
      </c>
      <c r="D25" s="4">
        <v>64</v>
      </c>
      <c r="E25" s="4">
        <v>74</v>
      </c>
    </row>
    <row r="26" spans="1:9" x14ac:dyDescent="0.3">
      <c r="A26" s="3" t="s">
        <v>29</v>
      </c>
      <c r="B26" s="4">
        <v>88</v>
      </c>
      <c r="C26" s="4">
        <v>105</v>
      </c>
      <c r="D26" s="4">
        <v>76</v>
      </c>
      <c r="E26" s="4">
        <v>90</v>
      </c>
    </row>
    <row r="27" spans="1:9" x14ac:dyDescent="0.3">
      <c r="A27" s="3" t="s">
        <v>30</v>
      </c>
      <c r="B27" s="4">
        <v>82</v>
      </c>
      <c r="C27" s="4">
        <v>96</v>
      </c>
      <c r="D27" s="4">
        <v>71</v>
      </c>
      <c r="E27" s="4">
        <v>63</v>
      </c>
    </row>
    <row r="28" spans="1:9" x14ac:dyDescent="0.3">
      <c r="A28" s="3" t="s">
        <v>31</v>
      </c>
      <c r="B28" s="4">
        <v>85</v>
      </c>
      <c r="C28" s="4">
        <v>103</v>
      </c>
      <c r="D28" s="4">
        <v>85</v>
      </c>
      <c r="E28" s="4">
        <v>81</v>
      </c>
    </row>
    <row r="29" spans="1:9" x14ac:dyDescent="0.3">
      <c r="A29" s="3" t="s">
        <v>32</v>
      </c>
      <c r="B29" s="4">
        <v>78</v>
      </c>
      <c r="C29" s="4">
        <v>115</v>
      </c>
      <c r="D29" s="4">
        <v>56</v>
      </c>
      <c r="E29" s="4">
        <v>75</v>
      </c>
    </row>
    <row r="30" spans="1:9" x14ac:dyDescent="0.3">
      <c r="A30" s="3" t="s">
        <v>33</v>
      </c>
      <c r="B30" s="4">
        <v>87</v>
      </c>
      <c r="C30" s="4">
        <v>135</v>
      </c>
      <c r="D30" s="4">
        <v>61</v>
      </c>
      <c r="E30" s="4">
        <v>61</v>
      </c>
    </row>
    <row r="31" spans="1:9" x14ac:dyDescent="0.3">
      <c r="A31" s="3" t="s">
        <v>34</v>
      </c>
      <c r="B31" s="4">
        <v>72</v>
      </c>
      <c r="C31" s="4">
        <v>104</v>
      </c>
      <c r="D31" s="4">
        <v>58</v>
      </c>
      <c r="E31" s="4">
        <v>53</v>
      </c>
    </row>
    <row r="32" spans="1:9" x14ac:dyDescent="0.3">
      <c r="A32" s="3" t="s">
        <v>35</v>
      </c>
      <c r="B32" s="4">
        <v>87</v>
      </c>
      <c r="C32" s="4">
        <v>126</v>
      </c>
      <c r="D32" s="4">
        <v>83</v>
      </c>
      <c r="E32" s="4">
        <v>59</v>
      </c>
    </row>
    <row r="33" spans="1:5" x14ac:dyDescent="0.3">
      <c r="A33" s="3" t="s">
        <v>36</v>
      </c>
      <c r="B33" s="4">
        <v>81</v>
      </c>
      <c r="C33" s="4">
        <v>121</v>
      </c>
      <c r="D33" s="4">
        <v>70</v>
      </c>
      <c r="E33" s="4">
        <v>81</v>
      </c>
    </row>
    <row r="34" spans="1:5" x14ac:dyDescent="0.3">
      <c r="A34" s="3" t="s">
        <v>9</v>
      </c>
      <c r="B34" s="4">
        <v>83</v>
      </c>
      <c r="C34" s="4">
        <v>106</v>
      </c>
      <c r="D34" s="4">
        <v>72</v>
      </c>
      <c r="E34" s="4">
        <v>88</v>
      </c>
    </row>
    <row r="35" spans="1:5" x14ac:dyDescent="0.3">
      <c r="A35" s="3" t="s">
        <v>37</v>
      </c>
      <c r="B35" s="4">
        <v>87</v>
      </c>
      <c r="C35" s="4">
        <v>107</v>
      </c>
      <c r="D35" s="4">
        <v>93</v>
      </c>
      <c r="E35" s="4">
        <v>72</v>
      </c>
    </row>
    <row r="36" spans="1:5" x14ac:dyDescent="0.3">
      <c r="A36" s="3" t="s">
        <v>38</v>
      </c>
      <c r="B36" s="4">
        <v>63</v>
      </c>
      <c r="C36" s="4">
        <v>102</v>
      </c>
      <c r="D36" s="4">
        <v>47</v>
      </c>
      <c r="E36" s="4">
        <v>64</v>
      </c>
    </row>
    <row r="37" spans="1:5" x14ac:dyDescent="0.3">
      <c r="A37" s="3" t="s">
        <v>24</v>
      </c>
      <c r="B37" s="4">
        <v>80</v>
      </c>
      <c r="C37" s="4">
        <v>85</v>
      </c>
      <c r="D37" s="4">
        <v>64</v>
      </c>
      <c r="E37" s="4">
        <v>81</v>
      </c>
    </row>
    <row r="38" spans="1:5" x14ac:dyDescent="0.3">
      <c r="A38" s="3" t="s">
        <v>39</v>
      </c>
      <c r="B38" s="4">
        <v>99</v>
      </c>
      <c r="C38" s="4">
        <v>143</v>
      </c>
      <c r="D38" s="4">
        <v>97</v>
      </c>
      <c r="E38" s="4">
        <v>79</v>
      </c>
    </row>
    <row r="39" spans="1:5" x14ac:dyDescent="0.3">
      <c r="A39" s="3" t="s">
        <v>40</v>
      </c>
      <c r="B39" s="4">
        <v>79</v>
      </c>
      <c r="C39" s="4">
        <v>110</v>
      </c>
      <c r="D39" s="4">
        <v>73</v>
      </c>
      <c r="E39" s="4">
        <v>57</v>
      </c>
    </row>
    <row r="40" spans="1:5" x14ac:dyDescent="0.3">
      <c r="A40" s="3" t="s">
        <v>41</v>
      </c>
      <c r="B40" s="4">
        <v>71</v>
      </c>
      <c r="C40" s="4">
        <v>128</v>
      </c>
      <c r="D40" s="4">
        <v>41</v>
      </c>
      <c r="E40" s="4">
        <v>48</v>
      </c>
    </row>
    <row r="41" spans="1:5" x14ac:dyDescent="0.3">
      <c r="A41" s="3" t="s">
        <v>42</v>
      </c>
      <c r="B41" s="4">
        <v>82</v>
      </c>
      <c r="C41" s="4">
        <v>104</v>
      </c>
      <c r="D41" s="4">
        <v>78</v>
      </c>
      <c r="E41" s="4">
        <v>53</v>
      </c>
    </row>
    <row r="42" spans="1:5" x14ac:dyDescent="0.3">
      <c r="A42" s="3" t="s">
        <v>43</v>
      </c>
      <c r="B42" s="4">
        <v>85</v>
      </c>
      <c r="C42" s="4">
        <v>101</v>
      </c>
      <c r="D42" s="4">
        <v>87</v>
      </c>
      <c r="E42" s="4">
        <v>65</v>
      </c>
    </row>
    <row r="43" spans="1:5" x14ac:dyDescent="0.3">
      <c r="A43" s="3" t="s">
        <v>11</v>
      </c>
      <c r="B43" s="4">
        <v>75</v>
      </c>
      <c r="C43" s="4">
        <v>94</v>
      </c>
      <c r="D43" s="4">
        <v>54</v>
      </c>
      <c r="E43" s="4">
        <v>60</v>
      </c>
    </row>
    <row r="44" spans="1:5" x14ac:dyDescent="0.3">
      <c r="A44" s="3" t="s">
        <v>9</v>
      </c>
      <c r="B44" s="4">
        <v>81</v>
      </c>
      <c r="C44" s="4">
        <v>106</v>
      </c>
      <c r="D44" s="4">
        <v>72</v>
      </c>
      <c r="E44" s="4">
        <v>55</v>
      </c>
    </row>
    <row r="45" spans="1:5" x14ac:dyDescent="0.3">
      <c r="A45" s="3" t="s">
        <v>44</v>
      </c>
      <c r="B45" s="4">
        <v>68</v>
      </c>
      <c r="C45" s="4">
        <v>102</v>
      </c>
      <c r="D45" s="4">
        <v>32</v>
      </c>
      <c r="E45" s="4">
        <v>69</v>
      </c>
    </row>
    <row r="46" spans="1:5" x14ac:dyDescent="0.3">
      <c r="A46" s="3" t="s">
        <v>45</v>
      </c>
      <c r="B46" s="4">
        <v>81</v>
      </c>
      <c r="C46" s="4">
        <v>98</v>
      </c>
      <c r="D46" s="4">
        <v>72</v>
      </c>
      <c r="E46" s="4">
        <v>69</v>
      </c>
    </row>
    <row r="47" spans="1:5" x14ac:dyDescent="0.3">
      <c r="A47" s="3" t="s">
        <v>46</v>
      </c>
      <c r="B47" s="4">
        <v>80</v>
      </c>
      <c r="C47" s="4">
        <v>112</v>
      </c>
      <c r="D47" s="4">
        <v>72</v>
      </c>
      <c r="E47" s="4">
        <v>78</v>
      </c>
    </row>
    <row r="48" spans="1:5" x14ac:dyDescent="0.3">
      <c r="A48" s="3" t="s">
        <v>47</v>
      </c>
      <c r="B48" s="4">
        <v>78</v>
      </c>
      <c r="C48" s="4">
        <v>87</v>
      </c>
      <c r="D48" s="4">
        <v>74</v>
      </c>
      <c r="E48" s="4">
        <v>93</v>
      </c>
    </row>
    <row r="49" spans="1:5" x14ac:dyDescent="0.3">
      <c r="A49" s="3" t="s">
        <v>48</v>
      </c>
      <c r="B49" s="4">
        <v>62</v>
      </c>
      <c r="C49" s="4">
        <v>73</v>
      </c>
      <c r="D49" s="4">
        <v>68</v>
      </c>
      <c r="E49" s="4">
        <v>67</v>
      </c>
    </row>
    <row r="50" spans="1:5" x14ac:dyDescent="0.3">
      <c r="A50" s="3" t="s">
        <v>49</v>
      </c>
      <c r="B50" s="4">
        <v>81</v>
      </c>
      <c r="C50" s="4">
        <v>94</v>
      </c>
      <c r="D50" s="4">
        <v>67</v>
      </c>
      <c r="E50" s="4">
        <v>59</v>
      </c>
    </row>
    <row r="51" spans="1:5" x14ac:dyDescent="0.3">
      <c r="A51" s="3" t="s">
        <v>50</v>
      </c>
      <c r="B51" s="4">
        <v>76</v>
      </c>
      <c r="C51" s="4">
        <v>117</v>
      </c>
      <c r="D51" s="4">
        <v>66</v>
      </c>
      <c r="E51" s="4">
        <v>68</v>
      </c>
    </row>
    <row r="52" spans="1:5" x14ac:dyDescent="0.3">
      <c r="A52" s="3" t="s">
        <v>51</v>
      </c>
      <c r="B52" s="4">
        <v>77</v>
      </c>
      <c r="C52" s="4">
        <v>112</v>
      </c>
      <c r="D52" s="4">
        <v>58</v>
      </c>
      <c r="E52" s="4">
        <v>57</v>
      </c>
    </row>
    <row r="53" spans="1:5" x14ac:dyDescent="0.3">
      <c r="A53" s="3" t="s">
        <v>52</v>
      </c>
      <c r="B53" s="4">
        <v>74</v>
      </c>
      <c r="C53" s="4">
        <v>113</v>
      </c>
      <c r="D53" s="4">
        <v>57</v>
      </c>
      <c r="E53" s="4">
        <v>76</v>
      </c>
    </row>
    <row r="54" spans="1:5" x14ac:dyDescent="0.3">
      <c r="A54" s="3" t="s">
        <v>9</v>
      </c>
      <c r="B54" s="4">
        <v>69</v>
      </c>
      <c r="C54" s="4">
        <v>94</v>
      </c>
      <c r="D54" s="4">
        <v>65</v>
      </c>
      <c r="E54" s="4">
        <v>53</v>
      </c>
    </row>
    <row r="55" spans="1:5" x14ac:dyDescent="0.3">
      <c r="A55" s="3" t="s">
        <v>53</v>
      </c>
      <c r="B55" s="4">
        <v>68</v>
      </c>
      <c r="C55" s="4">
        <v>119</v>
      </c>
      <c r="D55" s="4">
        <v>48</v>
      </c>
      <c r="E55" s="4">
        <v>44</v>
      </c>
    </row>
    <row r="56" spans="1:5" x14ac:dyDescent="0.3">
      <c r="A56" s="3" t="s">
        <v>54</v>
      </c>
      <c r="B56" s="4">
        <v>85</v>
      </c>
      <c r="C56" s="4">
        <v>111</v>
      </c>
      <c r="D56" s="4">
        <v>91</v>
      </c>
      <c r="E56" s="4">
        <v>59</v>
      </c>
    </row>
    <row r="57" spans="1:5" x14ac:dyDescent="0.3">
      <c r="A57" s="3" t="s">
        <v>55</v>
      </c>
      <c r="B57" s="4">
        <v>79</v>
      </c>
      <c r="C57" s="4">
        <v>104</v>
      </c>
      <c r="D57" s="4">
        <v>50</v>
      </c>
      <c r="E57" s="4">
        <v>73</v>
      </c>
    </row>
    <row r="58" spans="1:5" x14ac:dyDescent="0.3">
      <c r="A58" s="3" t="s">
        <v>56</v>
      </c>
      <c r="B58" s="4">
        <v>74</v>
      </c>
      <c r="C58" s="4">
        <v>99</v>
      </c>
      <c r="D58" s="4">
        <v>77</v>
      </c>
      <c r="E58" s="4">
        <v>83</v>
      </c>
    </row>
    <row r="59" spans="1:5" x14ac:dyDescent="0.3">
      <c r="A59" s="3" t="s">
        <v>57</v>
      </c>
      <c r="B59" s="4">
        <v>81</v>
      </c>
      <c r="C59" s="4">
        <v>104</v>
      </c>
      <c r="D59" s="4">
        <v>78</v>
      </c>
      <c r="E59" s="4">
        <v>83</v>
      </c>
    </row>
    <row r="60" spans="1:5" x14ac:dyDescent="0.3">
      <c r="A60" s="3" t="s">
        <v>58</v>
      </c>
      <c r="B60" s="4">
        <v>84</v>
      </c>
      <c r="C60" s="4">
        <v>108</v>
      </c>
      <c r="D60" s="4">
        <v>58</v>
      </c>
      <c r="E60" s="4">
        <v>64</v>
      </c>
    </row>
    <row r="61" spans="1:5" x14ac:dyDescent="0.3">
      <c r="A61" s="3" t="s">
        <v>59</v>
      </c>
      <c r="B61" s="4">
        <v>92</v>
      </c>
      <c r="C61" s="4">
        <v>130</v>
      </c>
      <c r="D61" s="4">
        <v>58</v>
      </c>
      <c r="E61" s="4">
        <v>75</v>
      </c>
    </row>
    <row r="63" spans="1:5" x14ac:dyDescent="0.3">
      <c r="C6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B9D29-9044-4910-83AD-317807E1A8C9}">
  <dimension ref="A1:E5"/>
  <sheetViews>
    <sheetView zoomScale="265" zoomScaleNormal="265" workbookViewId="0">
      <selection activeCell="E4" sqref="E4"/>
    </sheetView>
  </sheetViews>
  <sheetFormatPr defaultColWidth="10.21875" defaultRowHeight="14.4" x14ac:dyDescent="0.3"/>
  <cols>
    <col min="1" max="1" width="11.88671875" bestFit="1" customWidth="1"/>
    <col min="2" max="2" width="12" bestFit="1" customWidth="1"/>
    <col min="3" max="3" width="12.6640625" bestFit="1" customWidth="1"/>
    <col min="4" max="4" width="12" bestFit="1" customWidth="1"/>
    <col min="5" max="5" width="12.5546875" bestFit="1" customWidth="1"/>
  </cols>
  <sheetData>
    <row r="1" spans="1:5" x14ac:dyDescent="0.3">
      <c r="A1" s="7"/>
      <c r="B1" s="7" t="s">
        <v>1</v>
      </c>
      <c r="C1" s="7" t="s">
        <v>2</v>
      </c>
      <c r="D1" s="7" t="s">
        <v>3</v>
      </c>
      <c r="E1" s="7" t="s">
        <v>4</v>
      </c>
    </row>
    <row r="2" spans="1:5" x14ac:dyDescent="0.3">
      <c r="A2" t="s">
        <v>1</v>
      </c>
      <c r="B2" s="8">
        <v>1</v>
      </c>
      <c r="C2" s="8"/>
      <c r="D2" s="8"/>
      <c r="E2" s="8"/>
    </row>
    <row r="3" spans="1:5" x14ac:dyDescent="0.3">
      <c r="A3" t="s">
        <v>2</v>
      </c>
      <c r="B3" s="8">
        <v>0.47378037358041264</v>
      </c>
      <c r="C3" s="8">
        <v>1</v>
      </c>
      <c r="D3" s="8"/>
      <c r="E3" s="8"/>
    </row>
    <row r="4" spans="1:5" x14ac:dyDescent="0.3">
      <c r="A4" t="s">
        <v>3</v>
      </c>
      <c r="B4" s="8">
        <v>0.63486568560661627</v>
      </c>
      <c r="C4" s="8">
        <v>4.6877909869966976E-2</v>
      </c>
      <c r="D4" s="8">
        <v>1</v>
      </c>
      <c r="E4" s="8"/>
    </row>
    <row r="5" spans="1:5" ht="15" thickBot="1" x14ac:dyDescent="0.35">
      <c r="A5" s="6" t="s">
        <v>4</v>
      </c>
      <c r="B5" s="9">
        <v>0.39692818413442083</v>
      </c>
      <c r="C5" s="9">
        <v>-9.1805172347728572E-2</v>
      </c>
      <c r="D5" s="9">
        <v>0.36339641156786279</v>
      </c>
      <c r="E5" s="9">
        <v>1</v>
      </c>
    </row>
  </sheetData>
  <conditionalFormatting sqref="B2:E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7DFDB-21A9-484E-9191-95F9FA3827EB}">
  <dimension ref="B2:P20"/>
  <sheetViews>
    <sheetView showGridLines="0" tabSelected="1" topLeftCell="B1" zoomScale="160" zoomScaleNormal="160" workbookViewId="0">
      <selection activeCell="F8" sqref="F8"/>
    </sheetView>
  </sheetViews>
  <sheetFormatPr defaultRowHeight="14.4" x14ac:dyDescent="0.3"/>
  <cols>
    <col min="1" max="16384" width="8.88671875" style="12"/>
  </cols>
  <sheetData>
    <row r="2" spans="2:16" x14ac:dyDescent="0.3">
      <c r="B2" s="14" t="s">
        <v>89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2:16" x14ac:dyDescent="0.3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2:16" x14ac:dyDescent="0.3"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2:16" ht="15" thickBot="1" x14ac:dyDescent="0.35"/>
    <row r="6" spans="2:16" x14ac:dyDescent="0.3">
      <c r="C6" s="16" t="s">
        <v>2</v>
      </c>
      <c r="D6" s="17"/>
      <c r="E6" s="18"/>
      <c r="H6" s="16" t="s">
        <v>82</v>
      </c>
      <c r="I6" s="17"/>
      <c r="J6" s="18"/>
      <c r="M6" s="16" t="s">
        <v>83</v>
      </c>
      <c r="N6" s="17"/>
      <c r="O6" s="18"/>
    </row>
    <row r="7" spans="2:16" x14ac:dyDescent="0.3">
      <c r="C7" s="19"/>
      <c r="D7" s="20"/>
      <c r="E7" s="21"/>
      <c r="H7" s="19"/>
      <c r="I7" s="20"/>
      <c r="J7" s="21"/>
      <c r="M7" s="19"/>
      <c r="N7" s="20"/>
      <c r="O7" s="21"/>
    </row>
    <row r="8" spans="2:16" ht="15" thickBot="1" x14ac:dyDescent="0.35">
      <c r="C8" s="22"/>
      <c r="D8" s="23"/>
      <c r="E8" s="24"/>
      <c r="H8" s="22"/>
      <c r="I8" s="23"/>
      <c r="J8" s="24"/>
      <c r="M8" s="22"/>
      <c r="N8" s="23"/>
      <c r="O8" s="24"/>
    </row>
    <row r="9" spans="2:16" x14ac:dyDescent="0.3">
      <c r="C9" s="34">
        <v>84</v>
      </c>
      <c r="D9" s="26"/>
      <c r="E9" s="27"/>
      <c r="H9" s="34">
        <v>76</v>
      </c>
      <c r="I9" s="26"/>
      <c r="J9" s="27"/>
      <c r="M9" s="34">
        <v>58</v>
      </c>
      <c r="N9" s="26"/>
      <c r="O9" s="27"/>
    </row>
    <row r="10" spans="2:16" x14ac:dyDescent="0.3">
      <c r="C10" s="28"/>
      <c r="D10" s="29"/>
      <c r="E10" s="30"/>
      <c r="H10" s="28"/>
      <c r="I10" s="29"/>
      <c r="J10" s="30"/>
      <c r="M10" s="28"/>
      <c r="N10" s="29"/>
      <c r="O10" s="30"/>
    </row>
    <row r="11" spans="2:16" ht="15" thickBot="1" x14ac:dyDescent="0.35">
      <c r="C11" s="31"/>
      <c r="D11" s="32"/>
      <c r="E11" s="33"/>
      <c r="H11" s="31"/>
      <c r="I11" s="32"/>
      <c r="J11" s="33"/>
      <c r="M11" s="31"/>
      <c r="N11" s="32"/>
      <c r="O11" s="33"/>
    </row>
    <row r="14" spans="2:16" ht="15" thickBot="1" x14ac:dyDescent="0.35"/>
    <row r="15" spans="2:16" ht="14.4" customHeight="1" x14ac:dyDescent="0.3">
      <c r="E15" s="16" t="s">
        <v>87</v>
      </c>
      <c r="F15" s="17"/>
      <c r="G15" s="17"/>
      <c r="H15" s="18"/>
      <c r="K15" s="19" t="s">
        <v>88</v>
      </c>
      <c r="L15" s="20"/>
      <c r="M15" s="20"/>
      <c r="N15" s="20"/>
      <c r="O15" s="20"/>
    </row>
    <row r="16" spans="2:16" ht="14.4" customHeight="1" x14ac:dyDescent="0.3">
      <c r="E16" s="19"/>
      <c r="F16" s="20"/>
      <c r="G16" s="20"/>
      <c r="H16" s="21"/>
      <c r="K16" s="19"/>
      <c r="L16" s="20"/>
      <c r="M16" s="20"/>
      <c r="N16" s="20"/>
      <c r="O16" s="20"/>
    </row>
    <row r="17" spans="5:15" ht="15" customHeight="1" thickBot="1" x14ac:dyDescent="0.35">
      <c r="E17" s="22"/>
      <c r="F17" s="23"/>
      <c r="G17" s="23"/>
      <c r="H17" s="24"/>
      <c r="K17" s="19"/>
      <c r="L17" s="20"/>
      <c r="M17" s="20"/>
      <c r="N17" s="20"/>
      <c r="O17" s="20"/>
    </row>
    <row r="18" spans="5:15" ht="14.4" customHeight="1" x14ac:dyDescent="0.3">
      <c r="E18" s="25">
        <f>Sheet2!$H$12</f>
        <v>73.313328150863725</v>
      </c>
      <c r="F18" s="26"/>
      <c r="G18" s="26"/>
      <c r="H18" s="27"/>
      <c r="K18" s="34" t="str">
        <f>Sheet2!$H$15</f>
        <v>REJECTED</v>
      </c>
      <c r="L18" s="26"/>
      <c r="M18" s="26"/>
      <c r="N18" s="26"/>
      <c r="O18" s="27"/>
    </row>
    <row r="19" spans="5:15" ht="14.4" customHeight="1" x14ac:dyDescent="0.3">
      <c r="E19" s="28"/>
      <c r="F19" s="29"/>
      <c r="G19" s="29"/>
      <c r="H19" s="30"/>
      <c r="K19" s="28"/>
      <c r="L19" s="29"/>
      <c r="M19" s="29"/>
      <c r="N19" s="29"/>
      <c r="O19" s="30"/>
    </row>
    <row r="20" spans="5:15" ht="15" customHeight="1" thickBot="1" x14ac:dyDescent="0.35">
      <c r="E20" s="31"/>
      <c r="F20" s="32"/>
      <c r="G20" s="32"/>
      <c r="H20" s="33"/>
      <c r="K20" s="31"/>
      <c r="L20" s="32"/>
      <c r="M20" s="32"/>
      <c r="N20" s="32"/>
      <c r="O20" s="33"/>
    </row>
  </sheetData>
  <mergeCells count="11">
    <mergeCell ref="B2:P4"/>
    <mergeCell ref="E15:H17"/>
    <mergeCell ref="E18:H20"/>
    <mergeCell ref="K15:O17"/>
    <mergeCell ref="K18:O20"/>
    <mergeCell ref="C6:E8"/>
    <mergeCell ref="C9:E11"/>
    <mergeCell ref="H6:J8"/>
    <mergeCell ref="H9:J11"/>
    <mergeCell ref="M6:O8"/>
    <mergeCell ref="M9:O1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Spinner 1">
              <controlPr defaultSize="0" autoPict="0">
                <anchor moveWithCells="1" sizeWithCells="1">
                  <from>
                    <xdr:col>1</xdr:col>
                    <xdr:colOff>175260</xdr:colOff>
                    <xdr:row>7</xdr:row>
                    <xdr:rowOff>167640</xdr:rowOff>
                  </from>
                  <to>
                    <xdr:col>1</xdr:col>
                    <xdr:colOff>594360</xdr:colOff>
                    <xdr:row>10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4" name="Spinner 2">
              <controlPr defaultSize="0" autoPict="0">
                <anchor moveWithCells="1" sizeWithCells="1">
                  <from>
                    <xdr:col>6</xdr:col>
                    <xdr:colOff>167640</xdr:colOff>
                    <xdr:row>7</xdr:row>
                    <xdr:rowOff>152400</xdr:rowOff>
                  </from>
                  <to>
                    <xdr:col>6</xdr:col>
                    <xdr:colOff>586740</xdr:colOff>
                    <xdr:row>10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5" name="Spinner 3">
              <controlPr defaultSize="0" autoPict="0">
                <anchor moveWithCells="1" sizeWithCells="1">
                  <from>
                    <xdr:col>11</xdr:col>
                    <xdr:colOff>175260</xdr:colOff>
                    <xdr:row>7</xdr:row>
                    <xdr:rowOff>175260</xdr:rowOff>
                  </from>
                  <to>
                    <xdr:col>11</xdr:col>
                    <xdr:colOff>594360</xdr:colOff>
                    <xdr:row>11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Data</vt:lpstr>
      <vt:lpstr>Correlation_Matrix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</dc:creator>
  <cp:lastModifiedBy>Kishore Kumar</cp:lastModifiedBy>
  <dcterms:created xsi:type="dcterms:W3CDTF">2020-10-29T08:46:37Z</dcterms:created>
  <dcterms:modified xsi:type="dcterms:W3CDTF">2026-02-17T17:17:54Z</dcterms:modified>
</cp:coreProperties>
</file>